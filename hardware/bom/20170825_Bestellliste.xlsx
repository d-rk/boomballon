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8575" windowHeight="8567"/>
  </bookViews>
  <sheets>
    <sheet name="Bestellliste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" i="1" l="1"/>
  <c r="H49" i="1"/>
  <c r="I49" i="1" s="1"/>
  <c r="H48" i="1"/>
  <c r="I48" i="1" s="1"/>
  <c r="H47" i="1"/>
  <c r="I47" i="1" s="1"/>
  <c r="I46" i="1"/>
  <c r="H46" i="1"/>
  <c r="H45" i="1"/>
  <c r="I45" i="1" s="1"/>
  <c r="I44" i="1"/>
  <c r="I54" i="1"/>
  <c r="H59" i="1"/>
  <c r="I59" i="1" s="1"/>
  <c r="H58" i="1"/>
  <c r="I58" i="1" s="1"/>
  <c r="H57" i="1"/>
  <c r="H56" i="1"/>
  <c r="I56" i="1" s="1"/>
  <c r="H55" i="1"/>
  <c r="I55" i="1" s="1"/>
  <c r="I57" i="1"/>
  <c r="I60" i="1"/>
  <c r="H30" i="1" l="1"/>
  <c r="I30" i="1" s="1"/>
  <c r="H6" i="1" l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32" i="1"/>
  <c r="I32" i="1" s="1"/>
  <c r="H33" i="1"/>
  <c r="I33" i="1" s="1"/>
  <c r="H34" i="1"/>
  <c r="I34" i="1" s="1"/>
  <c r="H5" i="1"/>
  <c r="I5" i="1" s="1"/>
</calcChain>
</file>

<file path=xl/sharedStrings.xml><?xml version="1.0" encoding="utf-8"?>
<sst xmlns="http://schemas.openxmlformats.org/spreadsheetml/2006/main" count="184" uniqueCount="114">
  <si>
    <t>Anzahl Spiele:</t>
  </si>
  <si>
    <t>Platine</t>
  </si>
  <si>
    <t>Fotomodul</t>
  </si>
  <si>
    <t>Lichtmodul</t>
  </si>
  <si>
    <t>Steuermodul</t>
  </si>
  <si>
    <t>Bauteil</t>
  </si>
  <si>
    <t>Anzahl</t>
  </si>
  <si>
    <t>Netzteil</t>
  </si>
  <si>
    <t>Netzbuchse</t>
  </si>
  <si>
    <t>Ablassventil</t>
  </si>
  <si>
    <t>Arduino board</t>
  </si>
  <si>
    <t>Displaymodul</t>
  </si>
  <si>
    <t>Firma</t>
  </si>
  <si>
    <t>Artikelnummer</t>
  </si>
  <si>
    <t>Summer</t>
  </si>
  <si>
    <t>Fotodiode</t>
  </si>
  <si>
    <t>Widerstand</t>
  </si>
  <si>
    <t>Schaltkreis</t>
  </si>
  <si>
    <t>7 Segment Anzeige</t>
  </si>
  <si>
    <t>SUMMER AL-60P12</t>
  </si>
  <si>
    <t>Reichelt</t>
  </si>
  <si>
    <t>SC 08-11 RT</t>
  </si>
  <si>
    <t>Stückpreis</t>
  </si>
  <si>
    <t>SMD HC 595</t>
  </si>
  <si>
    <t>SL 1X50W 2,54</t>
  </si>
  <si>
    <t>LED</t>
  </si>
  <si>
    <t>Buchsenleiste</t>
  </si>
  <si>
    <t>MPE 094-1-016</t>
  </si>
  <si>
    <t>SMD 1/4W 330</t>
  </si>
  <si>
    <t>LED EL 3-11250KW</t>
  </si>
  <si>
    <t>Stiftleiste, gerade</t>
  </si>
  <si>
    <t>Besondere Stiftleiste</t>
  </si>
  <si>
    <t>STAPELLEISTE 10</t>
  </si>
  <si>
    <t>Stiftleiste, gewinkelt</t>
  </si>
  <si>
    <t>MPE 087-1-050</t>
  </si>
  <si>
    <t>A 905014</t>
  </si>
  <si>
    <t>ARDUINO MICRO</t>
  </si>
  <si>
    <t>Arduino Micro</t>
  </si>
  <si>
    <t>Netzteil 12V3A</t>
  </si>
  <si>
    <t>Amazon</t>
  </si>
  <si>
    <t>Magnetventil</t>
  </si>
  <si>
    <t>ebay</t>
  </si>
  <si>
    <t>Transistor</t>
  </si>
  <si>
    <t>Präz. Buchsenleiste</t>
  </si>
  <si>
    <t>Diode</t>
  </si>
  <si>
    <t>Jumper, schwarz</t>
  </si>
  <si>
    <t>Jumper, rot</t>
  </si>
  <si>
    <t xml:space="preserve">JUMPER 2,54GL SW </t>
  </si>
  <si>
    <t>JUMPER 2,54GL RT</t>
  </si>
  <si>
    <t>METALL 2,20K</t>
  </si>
  <si>
    <t xml:space="preserve">TIP 120 STM </t>
  </si>
  <si>
    <t>MPE 115-1-036</t>
  </si>
  <si>
    <t>1N 4004</t>
  </si>
  <si>
    <t>MS 165</t>
  </si>
  <si>
    <t>Kippschalter Ein-Aus</t>
  </si>
  <si>
    <t>Ein- und Ausschalter</t>
  </si>
  <si>
    <t>Datenblätter</t>
  </si>
  <si>
    <t>20170825_Datenblätter\A90xxxx#PE.pdf</t>
  </si>
  <si>
    <t>20170825_Datenblätter\SMD_1206.pdf</t>
  </si>
  <si>
    <t>20170825_Datenblätter\DS_MPE_087.pdf</t>
  </si>
  <si>
    <t>20170825_Datenblätter\STAPELLEISTE_XX.pdf</t>
  </si>
  <si>
    <t>20170825_Datenblätter\204-15UTC-S400-X9-L_V2.pdf</t>
  </si>
  <si>
    <t>20170825_Datenblätter\DS_MPE_094.pdf</t>
  </si>
  <si>
    <t>20170825_Datenblätter\TIP120_TIP121_TIP122_TIP125_TIP126_TIP127#STM.pdf</t>
  </si>
  <si>
    <t>20170825_Datenblätter\DS_MPE_115.pdf</t>
  </si>
  <si>
    <t>20170825_Datenblätter\METALL#YAG.pdf</t>
  </si>
  <si>
    <t>20170825_Datenblätter\1N400x_FAI.pdf</t>
  </si>
  <si>
    <t>20170825_Datenblätter\JUMPER254GL#DIV.pdf</t>
  </si>
  <si>
    <t>20170825_Datenblätter\155120AL-60P12.pdf</t>
  </si>
  <si>
    <t>20170825_Datenblätter\SC08-11SRWA(V6).pdf</t>
  </si>
  <si>
    <t>20170825_Datenblätter\smd_hc_595.pdf</t>
  </si>
  <si>
    <t>20170825_Datenblätter\088-1-050-0-F-XS0-1080.pdf</t>
  </si>
  <si>
    <t>20170825_Datenblätter\MS-165_169.pdf</t>
  </si>
  <si>
    <t>Kabel</t>
  </si>
  <si>
    <t>Jumper Wire</t>
  </si>
  <si>
    <t>Steckbrücken</t>
  </si>
  <si>
    <t>Mikrofon</t>
  </si>
  <si>
    <t>Arduino Soundmodul</t>
  </si>
  <si>
    <t>Mikrofon-Sensor</t>
  </si>
  <si>
    <t>Soundfounder</t>
  </si>
  <si>
    <t>Sensor Module</t>
  </si>
  <si>
    <t>Anzahl Spiele</t>
  </si>
  <si>
    <t>Gesamtkosten</t>
  </si>
  <si>
    <t>HEBLM 25</t>
  </si>
  <si>
    <t>Spielkarten</t>
  </si>
  <si>
    <t>Bedienungsanleitung</t>
  </si>
  <si>
    <t>Spielekarton</t>
  </si>
  <si>
    <t>Klebefolien Kartonflächen</t>
  </si>
  <si>
    <t>FantasyRoom</t>
  </si>
  <si>
    <t>Vakuum Pumpe</t>
  </si>
  <si>
    <t>AIRPO D2028B</t>
  </si>
  <si>
    <t>20170825_Datenblätter\AIRPO D2028B.pdf</t>
  </si>
  <si>
    <t>Electronic Shop</t>
  </si>
  <si>
    <t>Gehäuse Bauteile</t>
  </si>
  <si>
    <t>Scheibe</t>
  </si>
  <si>
    <t>Gehäuse Oberteil</t>
  </si>
  <si>
    <t>Gehäuse Unterteil</t>
  </si>
  <si>
    <t>Kartenmodul</t>
  </si>
  <si>
    <t>Dach-Spitz</t>
  </si>
  <si>
    <t>Schlauch-Stutzen Oberteil</t>
  </si>
  <si>
    <t>Polycarbonat-Platte Reely</t>
  </si>
  <si>
    <t>Conrad - 229802 - 62</t>
  </si>
  <si>
    <t>21,75 x 29,45 x 0,75</t>
  </si>
  <si>
    <t>400 x 500 x 0,75</t>
  </si>
  <si>
    <t>Rapid Object</t>
  </si>
  <si>
    <t>Vorabversion 2016</t>
  </si>
  <si>
    <t>https://i.materialise.de/</t>
  </si>
  <si>
    <t>weiss poliert</t>
  </si>
  <si>
    <t>Orange poliert</t>
  </si>
  <si>
    <t>Rot poliert</t>
  </si>
  <si>
    <t>Braun poliert</t>
  </si>
  <si>
    <t>rot</t>
  </si>
  <si>
    <t>ZU TEUER</t>
  </si>
  <si>
    <t>https://www.rapidobject.com/upload/#!upload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</si>
</sst>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3" fillId="0" borderId="0" xfId="0" applyFont="1"/>
    <xf numFmtId="0" fontId="2" fillId="0" borderId="0" xfId="0" applyFont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de/dp/B01AA83VHA/ref=twister_B01N2B7MHX?_encoding=UTF8&amp;psc=1" TargetMode="External"/><Relationship Id="rId18" Type="http://schemas.openxmlformats.org/officeDocument/2006/relationships/hyperlink" Target="https://www.reichelt.de/TIP-J-Transistoren/TIP-120-STM/3/index.html?ACTION=3&amp;LA=446&amp;ARTICLE=21469&amp;GROUPID=2887&amp;artnr=TIP+120+STM&amp;SEARCH=tip%2B120%2Bstm" TargetMode="External"/><Relationship Id="rId26" Type="http://schemas.openxmlformats.org/officeDocument/2006/relationships/hyperlink" Target="../Downloads/20170825_Datenbl&#228;tter/SMD_1206.pdf" TargetMode="External"/><Relationship Id="rId39" Type="http://schemas.openxmlformats.org/officeDocument/2006/relationships/hyperlink" Target="../Downloads/20170825_Datenbl&#228;tter/smd_hc_595.pdf" TargetMode="External"/><Relationship Id="rId21" Type="http://schemas.openxmlformats.org/officeDocument/2006/relationships/hyperlink" Target="https://www.reichelt.de/Kippschalter/MS-165/3/index.html?ACTION=3&amp;LA=2&amp;ARTICLE=13139&amp;GROUPID=7584&amp;artnr=MS+165&amp;SEARCH=%252A" TargetMode="External"/><Relationship Id="rId34" Type="http://schemas.openxmlformats.org/officeDocument/2006/relationships/hyperlink" Target="../Downloads/20170825_Datenbl&#228;tter/1N400x_FAI.pdf" TargetMode="External"/><Relationship Id="rId42" Type="http://schemas.openxmlformats.org/officeDocument/2006/relationships/hyperlink" Target="https://www.amazon.de/Elegoo-Female-Female-Male-Female-Steckbr%C3%BCcken-Drahtbr%C3%BCcken/dp/B01EV70C78/ref=sr_1_cc_1?s=aps&amp;ie=UTF8&amp;qid=1503697942&amp;sr=1-1-catcorr&amp;keywords=kabel+arduino" TargetMode="External"/><Relationship Id="rId47" Type="http://schemas.openxmlformats.org/officeDocument/2006/relationships/hyperlink" Target="https://www.electronic-shop.lu/DE/products/152670" TargetMode="External"/><Relationship Id="rId50" Type="http://schemas.openxmlformats.org/officeDocument/2006/relationships/hyperlink" Target="http://www.rapidobject.com/" TargetMode="External"/><Relationship Id="rId55" Type="http://schemas.openxmlformats.org/officeDocument/2006/relationships/hyperlink" Target="http://www.rapidobject.com/" TargetMode="External"/><Relationship Id="rId7" Type="http://schemas.openxmlformats.org/officeDocument/2006/relationships/hyperlink" Target="https://www.reichelt.de/LEDs-3-mm/LED-EL-3-11250KW/3/index.html?ACTION=3&amp;LA=446&amp;ARTICLE=164203&amp;GROUPID=3018&amp;artnr=LED+EL+3-11250KW&amp;SEARCH=LED%2Bel%2B3-11250kw" TargetMode="External"/><Relationship Id="rId12" Type="http://schemas.openxmlformats.org/officeDocument/2006/relationships/hyperlink" Target="https://www.reichelt.de/Einplatinen-Microcontroller/ARDUINO-MICRO/3/index.html?ACTION=3&amp;LA=446&amp;ARTICLE=130166&amp;GROUPID=6667&amp;artnr=ARDUINO+MICRO&amp;SEARCH=arduino%2Bmicro" TargetMode="External"/><Relationship Id="rId17" Type="http://schemas.openxmlformats.org/officeDocument/2006/relationships/hyperlink" Target="https://www.reichelt.de/0-6W-1-1-00-k-Ohm-9-76-k-Ohm/METALL-2-20K/3/index.html?ACTION=3&amp;LA=446&amp;ARTICLE=11584&amp;GROUPID=3078&amp;artnr=METALL+2%2C20K&amp;SEARCH=Metall%2B2%252C20k" TargetMode="External"/><Relationship Id="rId25" Type="http://schemas.openxmlformats.org/officeDocument/2006/relationships/hyperlink" Target="../Downloads/20170825_Datenbl&#228;tter/SMD_1206.pdf" TargetMode="External"/><Relationship Id="rId33" Type="http://schemas.openxmlformats.org/officeDocument/2006/relationships/hyperlink" Target="../Downloads/20170825_Datenbl&#228;tter/METALL" TargetMode="External"/><Relationship Id="rId38" Type="http://schemas.openxmlformats.org/officeDocument/2006/relationships/hyperlink" Target="../Downloads/20170825_Datenbl&#228;tter/SC08-11SRWA(V6).pdf" TargetMode="External"/><Relationship Id="rId46" Type="http://schemas.openxmlformats.org/officeDocument/2006/relationships/hyperlink" Target="https://www.my-fantasyroom.de/boxensetballonspunktetiereblaugold175cm-p-51734.html?osCsid=f9ab98c5e94fa819c6639233b81ee85a" TargetMode="External"/><Relationship Id="rId2" Type="http://schemas.openxmlformats.org/officeDocument/2006/relationships/hyperlink" Target="https://www.reichelt.de/Signalakustik/SUMMER-AL-60P12/3/index.html?ACTION=3&amp;LA=446&amp;ARTICLE=128931&amp;GROUPID=6560&amp;artnr=SUMMER+AL-60P12&amp;SEARCH=summer" TargetMode="External"/><Relationship Id="rId16" Type="http://schemas.openxmlformats.org/officeDocument/2006/relationships/hyperlink" Target="https://www.reichelt.de/Stiftleisten/JUMPER-2-54GL-RT/3/index.html?ACTION=3&amp;LA=2&amp;ARTICLE=9018&amp;GROUPID=7434&amp;artnr=JUMPER+2%2C54GL+RT&amp;SEARCH=%252A" TargetMode="External"/><Relationship Id="rId20" Type="http://schemas.openxmlformats.org/officeDocument/2006/relationships/hyperlink" Target="https://www.reichelt.de/1N-UF-AA-Dioden/1N-4004/3/index.html?ACTION=3&amp;LA=446&amp;ARTICLE=1726&amp;GROUPID=2987&amp;artnr=1N+4004&amp;SEARCH=1n4004" TargetMode="External"/><Relationship Id="rId29" Type="http://schemas.openxmlformats.org/officeDocument/2006/relationships/hyperlink" Target="../Downloads/20170825_Datenbl&#228;tter/204-15UTC-S400-X9-L_V2.pdf" TargetMode="External"/><Relationship Id="rId41" Type="http://schemas.openxmlformats.org/officeDocument/2006/relationships/hyperlink" Target="../Downloads/20170825_Datenbl&#228;tter/MS-165_169.pdf" TargetMode="External"/><Relationship Id="rId54" Type="http://schemas.openxmlformats.org/officeDocument/2006/relationships/hyperlink" Target="http://www.rapidobject.com/" TargetMode="External"/><Relationship Id="rId1" Type="http://schemas.openxmlformats.org/officeDocument/2006/relationships/hyperlink" Target="https://www.reichelt.de/Siebensegment-Anzeigen/SC-08-11-RT/3/index.html?ACTION=3&amp;LA=446&amp;ARTICLE=31576&amp;GROUPID=3002&amp;artnr=SC+08-11+RT&amp;SEARCH=SC%2B08-11%2Brt" TargetMode="External"/><Relationship Id="rId6" Type="http://schemas.openxmlformats.org/officeDocument/2006/relationships/hyperlink" Target="https://www.reichelt.de/SMD-1206-von-0-bis-910-Ohm/SMD-1-4W-330/3/index.html?ACTION=3&amp;LA=446&amp;ARTICLE=18315&amp;GROUPID=7973&amp;artnr=SMD+1%2F4W+330&amp;SEARCH=smd%2B1%252F4w%2B330" TargetMode="External"/><Relationship Id="rId11" Type="http://schemas.openxmlformats.org/officeDocument/2006/relationships/hyperlink" Target="https://www.reichelt.de/Fotodioden-etc-/A-905014/3/index.html?ACTION=3&amp;LA=446&amp;ARTICLE=47512&amp;GROUPID=3045&amp;artnr=A+905014&amp;SEARCH=a%2B905014" TargetMode="External"/><Relationship Id="rId24" Type="http://schemas.openxmlformats.org/officeDocument/2006/relationships/hyperlink" Target="../Downloads/20170825_Datenbl&#228;tter/SMD_1206.pdf" TargetMode="External"/><Relationship Id="rId32" Type="http://schemas.openxmlformats.org/officeDocument/2006/relationships/hyperlink" Target="../Downloads/20170825_Datenbl&#228;tter/DS_MPE_115.pdf" TargetMode="External"/><Relationship Id="rId37" Type="http://schemas.openxmlformats.org/officeDocument/2006/relationships/hyperlink" Target="../Downloads/20170825_Datenbl&#228;tter/155120AL-60P12.pdf" TargetMode="External"/><Relationship Id="rId40" Type="http://schemas.openxmlformats.org/officeDocument/2006/relationships/hyperlink" Target="../Downloads/20170825_Datenbl&#228;tter/088-1-050-0-F-XS0-1080.pdf" TargetMode="External"/><Relationship Id="rId45" Type="http://schemas.openxmlformats.org/officeDocument/2006/relationships/hyperlink" Target="https://www.reichelt.de/Hohlstecker/HEBLM-25/3/index.html?ACTION=3&amp;LA=2&amp;ARTICLE=35269&amp;GROUPID=7488&amp;artnr=HEBLM+25&amp;SEARCH=%252A" TargetMode="External"/><Relationship Id="rId53" Type="http://schemas.openxmlformats.org/officeDocument/2006/relationships/hyperlink" Target="http://www.rapidobject.com/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reichelt.de/Buchsenleisten/MPE-094-1-016/3/index.html?ACTION=3&amp;LA=446&amp;ARTICLE=119919&amp;GROUPID=7435&amp;artnr=MPE+094-1-016&amp;SEARCH=mpe%2B094-1-016" TargetMode="External"/><Relationship Id="rId15" Type="http://schemas.openxmlformats.org/officeDocument/2006/relationships/hyperlink" Target="https://www.reichelt.de/Stiftleisten/JUMPER-2-54GL-SW/3/index.html?ACTION=3&amp;LA=2&amp;ARTICLE=9019&amp;GROUPID=7434&amp;artnr=JUMPER+2%2C54GL+SW&amp;SEARCH=%252A" TargetMode="External"/><Relationship Id="rId23" Type="http://schemas.openxmlformats.org/officeDocument/2006/relationships/hyperlink" Target="../Downloads/20170825_Datenbl&#228;tter/A90xxxx" TargetMode="External"/><Relationship Id="rId28" Type="http://schemas.openxmlformats.org/officeDocument/2006/relationships/hyperlink" Target="../Downloads/20170825_Datenbl&#228;tter/STAPELLEISTE_XX.pdf" TargetMode="External"/><Relationship Id="rId36" Type="http://schemas.openxmlformats.org/officeDocument/2006/relationships/hyperlink" Target="../Downloads/20170825_Datenbl&#228;tter/JUMPER254GL" TargetMode="External"/><Relationship Id="rId49" Type="http://schemas.openxmlformats.org/officeDocument/2006/relationships/hyperlink" Target="https://www.conrad.de/de/polycarbonat-platte-reely-l-x-b-400-mm-x-500-mm-075-mm-229802.html" TargetMode="External"/><Relationship Id="rId57" Type="http://schemas.openxmlformats.org/officeDocument/2006/relationships/hyperlink" Target="https://i.materialise.de/" TargetMode="External"/><Relationship Id="rId10" Type="http://schemas.openxmlformats.org/officeDocument/2006/relationships/hyperlink" Target="https://www.reichelt.de/SMD-1206-von-0-bis-910-Ohm/SMD-1-4W-330/3/index.html?ACTION=3&amp;LA=446&amp;ARTICLE=18315&amp;GROUPID=7973&amp;artnr=SMD+1%2F4W+330&amp;SEARCH=smd%2B1%252F4w%2B330" TargetMode="External"/><Relationship Id="rId19" Type="http://schemas.openxmlformats.org/officeDocument/2006/relationships/hyperlink" Target="https://www.reichelt.de/Buchsenleisten/MPE-115-1-036/3/index.html?ACTION=3&amp;LA=446&amp;ARTICLE=119957&amp;GROUPID=7435&amp;artnr=MPE+115-1-036&amp;SEARCH=mpe%2B115-1-036" TargetMode="External"/><Relationship Id="rId31" Type="http://schemas.openxmlformats.org/officeDocument/2006/relationships/hyperlink" Target="../Downloads/20170825_Datenbl&#228;tter/TIP120_TIP121_TIP122_TIP125_TIP126_TIP127" TargetMode="External"/><Relationship Id="rId44" Type="http://schemas.openxmlformats.org/officeDocument/2006/relationships/hyperlink" Target="https://www.amazon.de/SunFounder-Sensor-Module-Arduino-Raspberry/dp/B013QR8ZT6/ref=pd_bxgy_23_img_2?_encoding=UTF8&amp;psc=1&amp;refRID=CXD9TNZGQX8NFWETDF2R" TargetMode="External"/><Relationship Id="rId52" Type="http://schemas.openxmlformats.org/officeDocument/2006/relationships/hyperlink" Target="http://www.rapidobject.com/" TargetMode="External"/><Relationship Id="rId4" Type="http://schemas.openxmlformats.org/officeDocument/2006/relationships/hyperlink" Target="https://www.reichelt.de/Stiftleisten/SL-1X50W-2-54/3/index.html?ACTION=3&amp;LA=446&amp;ARTICLE=19509&amp;GROUPID=7434&amp;artnr=SL+1X50W+2%2C54&amp;SEARCH=SL%2B1x500%2B2%252C54" TargetMode="External"/><Relationship Id="rId9" Type="http://schemas.openxmlformats.org/officeDocument/2006/relationships/hyperlink" Target="https://www.reichelt.de/Stiftleisten/MPE-087-1-050/3/index.html?ACTION=3&amp;LA=2&amp;ARTICLE=119891&amp;GROUPID=7434&amp;artnr=MPE+087-1-050&amp;SEARCH=%252A" TargetMode="External"/><Relationship Id="rId14" Type="http://schemas.openxmlformats.org/officeDocument/2006/relationships/hyperlink" Target="http://www.ebay.de/itm/Druckluft-Magnetventil-elektrisch-8-12V-Mini-Ventil-Modellbau-Pneumatik-/161404729688" TargetMode="External"/><Relationship Id="rId22" Type="http://schemas.openxmlformats.org/officeDocument/2006/relationships/hyperlink" Target="https://www.reichelt.de/SMD-1206-von-0-bis-910-Ohm/SMD-1-4W-330/3/index.html?ACTION=3&amp;LA=446&amp;ARTICLE=18315&amp;GROUPID=7973&amp;artnr=SMD+1%2F4W+330&amp;SEARCH=smd%2B1%252F4w%2B330" TargetMode="External"/><Relationship Id="rId27" Type="http://schemas.openxmlformats.org/officeDocument/2006/relationships/hyperlink" Target="../Downloads/20170825_Datenbl&#228;tter/DS_MPE_087.pdf" TargetMode="External"/><Relationship Id="rId30" Type="http://schemas.openxmlformats.org/officeDocument/2006/relationships/hyperlink" Target="../Downloads/20170825_Datenbl&#228;tter/DS_MPE_094.pdf" TargetMode="External"/><Relationship Id="rId35" Type="http://schemas.openxmlformats.org/officeDocument/2006/relationships/hyperlink" Target="../Downloads/20170825_Datenbl&#228;tter/JUMPER254GL" TargetMode="External"/><Relationship Id="rId43" Type="http://schemas.openxmlformats.org/officeDocument/2006/relationships/hyperlink" Target="https://www.amazon.de/Mikrofon-Sensor-Modul-analogem-digitalem-Ausgang-Sound-Detektor/dp/B01H7CNI70" TargetMode="External"/><Relationship Id="rId48" Type="http://schemas.openxmlformats.org/officeDocument/2006/relationships/hyperlink" Target="../Downloads/20170825_Datenbl&#228;tter/AIRPO%20D2028B.pdf" TargetMode="External"/><Relationship Id="rId56" Type="http://schemas.openxmlformats.org/officeDocument/2006/relationships/hyperlink" Target="https://www.conrad.de/de/polycarbonat-platte-reely-l-x-b-400-mm-x-500-mm-075-mm-229802.html" TargetMode="External"/><Relationship Id="rId8" Type="http://schemas.openxmlformats.org/officeDocument/2006/relationships/hyperlink" Target="https://www.reichelt.de/Stiftleisten/STAPELLEISTE-10/3/index.html?ACTION=3&amp;LA=446&amp;ARTICLE=19452&amp;GROUPID=7434&amp;artnr=STAPELLEISTE+10&amp;SEARCH=stapelleiste%2B10" TargetMode="External"/><Relationship Id="rId51" Type="http://schemas.openxmlformats.org/officeDocument/2006/relationships/hyperlink" Target="http://www.rapidobject.com/" TargetMode="External"/><Relationship Id="rId3" Type="http://schemas.openxmlformats.org/officeDocument/2006/relationships/hyperlink" Target="https://www.reichelt.de/ICs-74HC-SMD/SMD-HC-595/3/index.html?ACTION=3&amp;LA=446&amp;ARTICLE=56622&amp;GROUPID=2931&amp;artnr=SMD+HC+595&amp;SEARCH=smd%2Bhc%2B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topLeftCell="A7" zoomScale="85" zoomScaleNormal="85" workbookViewId="0">
      <selection activeCell="D48" sqref="D48"/>
    </sheetView>
  </sheetViews>
  <sheetFormatPr baseColWidth="10" defaultColWidth="9.140625" defaultRowHeight="14.55" x14ac:dyDescent="0.25"/>
  <cols>
    <col min="1" max="1" width="26.140625" customWidth="1"/>
    <col min="2" max="3" width="20.7109375" customWidth="1"/>
    <col min="4" max="4" width="73" bestFit="1" customWidth="1"/>
    <col min="5" max="5" width="14.5703125" bestFit="1" customWidth="1"/>
    <col min="6" max="6" width="9.5703125" customWidth="1"/>
    <col min="7" max="7" width="11.5703125" style="2" customWidth="1"/>
    <col min="8" max="8" width="14" customWidth="1"/>
    <col min="9" max="9" width="14.85546875" style="2" customWidth="1"/>
  </cols>
  <sheetData>
    <row r="1" spans="1:9" x14ac:dyDescent="0.25">
      <c r="A1" t="s">
        <v>0</v>
      </c>
      <c r="B1">
        <v>3</v>
      </c>
    </row>
    <row r="4" spans="1:9" x14ac:dyDescent="0.25">
      <c r="A4" t="s">
        <v>1</v>
      </c>
      <c r="B4" t="s">
        <v>5</v>
      </c>
      <c r="C4" t="s">
        <v>13</v>
      </c>
      <c r="D4" t="s">
        <v>56</v>
      </c>
      <c r="E4" t="s">
        <v>12</v>
      </c>
      <c r="F4" t="s">
        <v>6</v>
      </c>
      <c r="G4" s="2" t="s">
        <v>22</v>
      </c>
      <c r="H4" t="s">
        <v>81</v>
      </c>
      <c r="I4" s="2" t="s">
        <v>82</v>
      </c>
    </row>
    <row r="5" spans="1:9" x14ac:dyDescent="0.25">
      <c r="A5" t="s">
        <v>2</v>
      </c>
      <c r="B5" t="s">
        <v>15</v>
      </c>
      <c r="C5" s="1" t="s">
        <v>35</v>
      </c>
      <c r="D5" s="1" t="s">
        <v>57</v>
      </c>
      <c r="E5" t="s">
        <v>20</v>
      </c>
      <c r="F5">
        <v>5</v>
      </c>
      <c r="G5" s="2">
        <v>1.25</v>
      </c>
      <c r="H5">
        <f>F5*$B$1</f>
        <v>15</v>
      </c>
      <c r="I5" s="2">
        <f>G5*H5</f>
        <v>18.75</v>
      </c>
    </row>
    <row r="6" spans="1:9" x14ac:dyDescent="0.25">
      <c r="A6" t="s">
        <v>2</v>
      </c>
      <c r="B6" t="s">
        <v>16</v>
      </c>
      <c r="C6" s="1" t="s">
        <v>28</v>
      </c>
      <c r="D6" s="1" t="s">
        <v>58</v>
      </c>
      <c r="E6" t="s">
        <v>20</v>
      </c>
      <c r="F6">
        <v>5</v>
      </c>
      <c r="G6" s="2">
        <v>0.03</v>
      </c>
      <c r="H6">
        <f t="shared" ref="H6:H34" si="0">F6*$B$1</f>
        <v>15</v>
      </c>
      <c r="I6" s="2">
        <f t="shared" ref="I6:I34" si="1">G6*H6</f>
        <v>0.44999999999999996</v>
      </c>
    </row>
    <row r="7" spans="1:9" x14ac:dyDescent="0.25">
      <c r="A7" t="s">
        <v>2</v>
      </c>
      <c r="B7" t="s">
        <v>30</v>
      </c>
      <c r="C7" s="1" t="s">
        <v>34</v>
      </c>
      <c r="D7" s="1" t="s">
        <v>59</v>
      </c>
      <c r="E7" t="s">
        <v>20</v>
      </c>
      <c r="F7">
        <v>1</v>
      </c>
      <c r="G7" s="2">
        <v>0.87</v>
      </c>
      <c r="H7">
        <f t="shared" si="0"/>
        <v>3</v>
      </c>
      <c r="I7" s="2">
        <f t="shared" si="1"/>
        <v>2.61</v>
      </c>
    </row>
    <row r="8" spans="1:9" x14ac:dyDescent="0.25">
      <c r="A8" t="s">
        <v>2</v>
      </c>
      <c r="B8" t="s">
        <v>31</v>
      </c>
      <c r="C8" s="1" t="s">
        <v>32</v>
      </c>
      <c r="D8" s="1" t="s">
        <v>60</v>
      </c>
      <c r="E8" t="s">
        <v>20</v>
      </c>
      <c r="F8">
        <v>2</v>
      </c>
      <c r="G8" s="2">
        <v>0.44</v>
      </c>
      <c r="H8">
        <f t="shared" si="0"/>
        <v>6</v>
      </c>
      <c r="I8" s="2">
        <f t="shared" si="1"/>
        <v>2.64</v>
      </c>
    </row>
    <row r="9" spans="1:9" x14ac:dyDescent="0.25">
      <c r="H9">
        <f t="shared" si="0"/>
        <v>0</v>
      </c>
      <c r="I9" s="2">
        <f t="shared" si="1"/>
        <v>0</v>
      </c>
    </row>
    <row r="10" spans="1:9" x14ac:dyDescent="0.25">
      <c r="A10" t="s">
        <v>3</v>
      </c>
      <c r="B10" t="s">
        <v>25</v>
      </c>
      <c r="C10" s="1" t="s">
        <v>29</v>
      </c>
      <c r="D10" s="1" t="s">
        <v>61</v>
      </c>
      <c r="E10" t="s">
        <v>20</v>
      </c>
      <c r="F10">
        <v>5</v>
      </c>
      <c r="G10" s="2">
        <v>0.24</v>
      </c>
      <c r="H10">
        <f t="shared" si="0"/>
        <v>15</v>
      </c>
      <c r="I10" s="2">
        <f t="shared" si="1"/>
        <v>3.5999999999999996</v>
      </c>
    </row>
    <row r="11" spans="1:9" x14ac:dyDescent="0.25">
      <c r="A11" t="s">
        <v>3</v>
      </c>
      <c r="B11" t="s">
        <v>16</v>
      </c>
      <c r="C11" s="1" t="s">
        <v>28</v>
      </c>
      <c r="D11" s="1" t="s">
        <v>58</v>
      </c>
      <c r="E11" t="s">
        <v>20</v>
      </c>
      <c r="F11">
        <v>5</v>
      </c>
      <c r="G11" s="2">
        <v>0.03</v>
      </c>
      <c r="H11">
        <f t="shared" si="0"/>
        <v>15</v>
      </c>
      <c r="I11" s="2">
        <f t="shared" si="1"/>
        <v>0.44999999999999996</v>
      </c>
    </row>
    <row r="12" spans="1:9" x14ac:dyDescent="0.25">
      <c r="A12" t="s">
        <v>3</v>
      </c>
      <c r="B12" t="s">
        <v>26</v>
      </c>
      <c r="C12" s="1" t="s">
        <v>27</v>
      </c>
      <c r="D12" s="1" t="s">
        <v>62</v>
      </c>
      <c r="E12" t="s">
        <v>20</v>
      </c>
      <c r="F12">
        <v>1</v>
      </c>
      <c r="G12" s="2">
        <v>0.31</v>
      </c>
      <c r="H12">
        <f t="shared" si="0"/>
        <v>3</v>
      </c>
      <c r="I12" s="2">
        <f t="shared" si="1"/>
        <v>0.92999999999999994</v>
      </c>
    </row>
    <row r="13" spans="1:9" x14ac:dyDescent="0.25">
      <c r="H13">
        <f t="shared" si="0"/>
        <v>0</v>
      </c>
      <c r="I13" s="2">
        <f t="shared" si="1"/>
        <v>0</v>
      </c>
    </row>
    <row r="14" spans="1:9" x14ac:dyDescent="0.25">
      <c r="A14" t="s">
        <v>4</v>
      </c>
      <c r="B14" t="s">
        <v>42</v>
      </c>
      <c r="C14" s="1" t="s">
        <v>50</v>
      </c>
      <c r="D14" s="1" t="s">
        <v>63</v>
      </c>
      <c r="E14" t="s">
        <v>20</v>
      </c>
      <c r="F14">
        <v>2</v>
      </c>
      <c r="G14" s="2">
        <v>0.28000000000000003</v>
      </c>
      <c r="H14">
        <f t="shared" si="0"/>
        <v>6</v>
      </c>
      <c r="I14" s="2">
        <f t="shared" si="1"/>
        <v>1.6800000000000002</v>
      </c>
    </row>
    <row r="15" spans="1:9" x14ac:dyDescent="0.25">
      <c r="A15" t="s">
        <v>4</v>
      </c>
      <c r="B15" t="s">
        <v>43</v>
      </c>
      <c r="C15" s="1" t="s">
        <v>51</v>
      </c>
      <c r="D15" s="1" t="s">
        <v>64</v>
      </c>
      <c r="E15" t="s">
        <v>20</v>
      </c>
      <c r="F15">
        <v>1</v>
      </c>
      <c r="G15" s="2">
        <v>1.99</v>
      </c>
      <c r="H15">
        <f t="shared" si="0"/>
        <v>3</v>
      </c>
      <c r="I15" s="2">
        <f t="shared" si="1"/>
        <v>5.97</v>
      </c>
    </row>
    <row r="16" spans="1:9" x14ac:dyDescent="0.25">
      <c r="A16" t="s">
        <v>4</v>
      </c>
      <c r="B16" t="s">
        <v>16</v>
      </c>
      <c r="C16" s="1" t="s">
        <v>49</v>
      </c>
      <c r="D16" s="1" t="s">
        <v>65</v>
      </c>
      <c r="E16" t="s">
        <v>20</v>
      </c>
      <c r="F16">
        <v>2</v>
      </c>
      <c r="G16" s="2">
        <v>8.2000000000000003E-2</v>
      </c>
      <c r="H16">
        <f t="shared" si="0"/>
        <v>6</v>
      </c>
      <c r="I16" s="2">
        <f t="shared" si="1"/>
        <v>0.49199999999999999</v>
      </c>
    </row>
    <row r="17" spans="1:9" x14ac:dyDescent="0.25">
      <c r="A17" t="s">
        <v>4</v>
      </c>
      <c r="B17" t="s">
        <v>44</v>
      </c>
      <c r="C17" s="1" t="s">
        <v>52</v>
      </c>
      <c r="D17" s="1" t="s">
        <v>66</v>
      </c>
      <c r="E17" t="s">
        <v>20</v>
      </c>
      <c r="F17">
        <v>2</v>
      </c>
      <c r="G17" s="2">
        <v>0.04</v>
      </c>
      <c r="H17">
        <f t="shared" si="0"/>
        <v>6</v>
      </c>
      <c r="I17" s="2">
        <f t="shared" si="1"/>
        <v>0.24</v>
      </c>
    </row>
    <row r="18" spans="1:9" x14ac:dyDescent="0.25">
      <c r="A18" t="s">
        <v>4</v>
      </c>
      <c r="B18" t="s">
        <v>45</v>
      </c>
      <c r="C18" s="1" t="s">
        <v>47</v>
      </c>
      <c r="D18" s="1" t="s">
        <v>67</v>
      </c>
      <c r="E18" t="s">
        <v>20</v>
      </c>
      <c r="F18">
        <v>3</v>
      </c>
      <c r="G18" s="2">
        <v>0.02</v>
      </c>
      <c r="H18">
        <f t="shared" si="0"/>
        <v>9</v>
      </c>
      <c r="I18" s="2">
        <f t="shared" si="1"/>
        <v>0.18</v>
      </c>
    </row>
    <row r="19" spans="1:9" x14ac:dyDescent="0.25">
      <c r="A19" t="s">
        <v>4</v>
      </c>
      <c r="B19" t="s">
        <v>46</v>
      </c>
      <c r="C19" s="1" t="s">
        <v>48</v>
      </c>
      <c r="D19" s="1" t="s">
        <v>67</v>
      </c>
      <c r="E19" t="s">
        <v>20</v>
      </c>
      <c r="F19">
        <v>3</v>
      </c>
      <c r="G19" s="2">
        <v>0.04</v>
      </c>
      <c r="H19">
        <f t="shared" si="0"/>
        <v>9</v>
      </c>
      <c r="I19" s="2">
        <f t="shared" si="1"/>
        <v>0.36</v>
      </c>
    </row>
    <row r="20" spans="1:9" x14ac:dyDescent="0.25">
      <c r="H20">
        <f t="shared" si="0"/>
        <v>0</v>
      </c>
      <c r="I20" s="2">
        <f t="shared" si="1"/>
        <v>0</v>
      </c>
    </row>
    <row r="21" spans="1:9" x14ac:dyDescent="0.25">
      <c r="A21" t="s">
        <v>11</v>
      </c>
      <c r="B21" t="s">
        <v>14</v>
      </c>
      <c r="C21" s="1" t="s">
        <v>19</v>
      </c>
      <c r="D21" s="1" t="s">
        <v>68</v>
      </c>
      <c r="E21" t="s">
        <v>20</v>
      </c>
      <c r="F21">
        <v>1</v>
      </c>
      <c r="G21" s="2">
        <v>0.55000000000000004</v>
      </c>
      <c r="H21">
        <f t="shared" si="0"/>
        <v>3</v>
      </c>
      <c r="I21" s="2">
        <f t="shared" si="1"/>
        <v>1.6500000000000001</v>
      </c>
    </row>
    <row r="22" spans="1:9" x14ac:dyDescent="0.25">
      <c r="A22" t="s">
        <v>11</v>
      </c>
      <c r="B22" t="s">
        <v>18</v>
      </c>
      <c r="C22" s="1" t="s">
        <v>21</v>
      </c>
      <c r="D22" s="1" t="s">
        <v>69</v>
      </c>
      <c r="E22" t="s">
        <v>20</v>
      </c>
      <c r="F22">
        <v>1</v>
      </c>
      <c r="G22" s="2">
        <v>1.1499999999999999</v>
      </c>
      <c r="H22">
        <f t="shared" si="0"/>
        <v>3</v>
      </c>
      <c r="I22" s="2">
        <f t="shared" si="1"/>
        <v>3.4499999999999997</v>
      </c>
    </row>
    <row r="23" spans="1:9" x14ac:dyDescent="0.25">
      <c r="A23" t="s">
        <v>11</v>
      </c>
      <c r="B23" t="s">
        <v>16</v>
      </c>
      <c r="C23" s="1" t="s">
        <v>28</v>
      </c>
      <c r="D23" s="1" t="s">
        <v>58</v>
      </c>
      <c r="E23" t="s">
        <v>20</v>
      </c>
      <c r="F23">
        <v>8</v>
      </c>
      <c r="G23" s="2">
        <v>0.25</v>
      </c>
      <c r="H23">
        <f t="shared" si="0"/>
        <v>24</v>
      </c>
      <c r="I23" s="2">
        <f t="shared" si="1"/>
        <v>6</v>
      </c>
    </row>
    <row r="24" spans="1:9" x14ac:dyDescent="0.25">
      <c r="A24" t="s">
        <v>11</v>
      </c>
      <c r="B24" t="s">
        <v>17</v>
      </c>
      <c r="C24" s="1" t="s">
        <v>23</v>
      </c>
      <c r="D24" s="1" t="s">
        <v>70</v>
      </c>
      <c r="E24" t="s">
        <v>20</v>
      </c>
      <c r="F24">
        <v>1</v>
      </c>
      <c r="G24" s="2">
        <v>0.2</v>
      </c>
      <c r="H24">
        <f t="shared" si="0"/>
        <v>3</v>
      </c>
      <c r="I24" s="2">
        <f t="shared" si="1"/>
        <v>0.60000000000000009</v>
      </c>
    </row>
    <row r="25" spans="1:9" x14ac:dyDescent="0.25">
      <c r="A25" t="s">
        <v>11</v>
      </c>
      <c r="B25" t="s">
        <v>33</v>
      </c>
      <c r="C25" s="1" t="s">
        <v>24</v>
      </c>
      <c r="D25" s="1" t="s">
        <v>71</v>
      </c>
      <c r="E25" t="s">
        <v>20</v>
      </c>
      <c r="F25">
        <v>1</v>
      </c>
      <c r="G25" s="2">
        <v>0.97</v>
      </c>
      <c r="H25">
        <f t="shared" si="0"/>
        <v>3</v>
      </c>
      <c r="I25" s="2">
        <f t="shared" si="1"/>
        <v>2.91</v>
      </c>
    </row>
    <row r="26" spans="1:9" x14ac:dyDescent="0.25">
      <c r="C26" s="1"/>
      <c r="D26" s="1"/>
      <c r="H26">
        <f t="shared" si="0"/>
        <v>0</v>
      </c>
      <c r="I26" s="2">
        <f t="shared" si="1"/>
        <v>0</v>
      </c>
    </row>
    <row r="27" spans="1:9" x14ac:dyDescent="0.25">
      <c r="A27" t="s">
        <v>7</v>
      </c>
      <c r="C27" s="1" t="s">
        <v>38</v>
      </c>
      <c r="D27" s="1"/>
      <c r="E27" t="s">
        <v>39</v>
      </c>
      <c r="F27">
        <v>1</v>
      </c>
      <c r="G27" s="2">
        <v>9.99</v>
      </c>
      <c r="H27">
        <f t="shared" si="0"/>
        <v>3</v>
      </c>
      <c r="I27" s="2">
        <f t="shared" si="1"/>
        <v>29.97</v>
      </c>
    </row>
    <row r="28" spans="1:9" x14ac:dyDescent="0.25">
      <c r="A28" t="s">
        <v>8</v>
      </c>
      <c r="C28" s="1" t="s">
        <v>83</v>
      </c>
      <c r="D28" s="1"/>
      <c r="E28" t="s">
        <v>20</v>
      </c>
      <c r="F28">
        <v>1</v>
      </c>
      <c r="G28" s="2">
        <v>0.81</v>
      </c>
      <c r="H28">
        <f t="shared" si="0"/>
        <v>3</v>
      </c>
      <c r="I28" s="2">
        <f t="shared" si="1"/>
        <v>2.4300000000000002</v>
      </c>
    </row>
    <row r="29" spans="1:9" x14ac:dyDescent="0.25">
      <c r="A29" t="s">
        <v>9</v>
      </c>
      <c r="C29" s="1" t="s">
        <v>40</v>
      </c>
      <c r="D29" s="1"/>
      <c r="E29" t="s">
        <v>41</v>
      </c>
      <c r="F29">
        <v>1</v>
      </c>
      <c r="G29" s="2">
        <v>6.28</v>
      </c>
      <c r="H29">
        <f t="shared" si="0"/>
        <v>3</v>
      </c>
      <c r="I29" s="2">
        <f t="shared" si="1"/>
        <v>18.84</v>
      </c>
    </row>
    <row r="30" spans="1:9" x14ac:dyDescent="0.25">
      <c r="A30" t="s">
        <v>89</v>
      </c>
      <c r="C30" s="1" t="s">
        <v>90</v>
      </c>
      <c r="D30" s="1" t="s">
        <v>91</v>
      </c>
      <c r="E30" t="s">
        <v>92</v>
      </c>
      <c r="F30">
        <v>1</v>
      </c>
      <c r="G30" s="2">
        <v>20.6</v>
      </c>
      <c r="H30">
        <f t="shared" si="0"/>
        <v>3</v>
      </c>
      <c r="I30" s="2">
        <f t="shared" si="1"/>
        <v>61.800000000000004</v>
      </c>
    </row>
    <row r="31" spans="1:9" x14ac:dyDescent="0.25">
      <c r="A31" t="s">
        <v>10</v>
      </c>
      <c r="B31" t="s">
        <v>37</v>
      </c>
      <c r="C31" s="1" t="s">
        <v>36</v>
      </c>
      <c r="D31" s="1"/>
      <c r="E31" t="s">
        <v>20</v>
      </c>
      <c r="F31">
        <v>1</v>
      </c>
      <c r="G31" s="2">
        <v>18.5</v>
      </c>
      <c r="H31">
        <f t="shared" si="0"/>
        <v>3</v>
      </c>
      <c r="I31" s="2">
        <f t="shared" si="1"/>
        <v>55.5</v>
      </c>
    </row>
    <row r="32" spans="1:9" x14ac:dyDescent="0.25">
      <c r="A32" t="s">
        <v>55</v>
      </c>
      <c r="B32" t="s">
        <v>54</v>
      </c>
      <c r="C32" s="1" t="s">
        <v>53</v>
      </c>
      <c r="D32" s="1" t="s">
        <v>72</v>
      </c>
      <c r="E32" t="s">
        <v>20</v>
      </c>
      <c r="F32">
        <v>1</v>
      </c>
      <c r="G32" s="2">
        <v>1.8</v>
      </c>
      <c r="H32">
        <f t="shared" si="0"/>
        <v>3</v>
      </c>
      <c r="I32" s="2">
        <f t="shared" si="1"/>
        <v>5.4</v>
      </c>
    </row>
    <row r="33" spans="1:9" x14ac:dyDescent="0.25">
      <c r="A33" t="s">
        <v>73</v>
      </c>
      <c r="B33" t="s">
        <v>74</v>
      </c>
      <c r="C33" s="1" t="s">
        <v>75</v>
      </c>
      <c r="E33" t="s">
        <v>39</v>
      </c>
      <c r="F33">
        <v>1</v>
      </c>
      <c r="G33" s="2">
        <v>6.99</v>
      </c>
      <c r="H33">
        <f t="shared" si="0"/>
        <v>3</v>
      </c>
      <c r="I33" s="2">
        <f t="shared" si="1"/>
        <v>20.97</v>
      </c>
    </row>
    <row r="34" spans="1:9" x14ac:dyDescent="0.25">
      <c r="A34" t="s">
        <v>76</v>
      </c>
      <c r="B34" t="s">
        <v>77</v>
      </c>
      <c r="C34" s="1" t="s">
        <v>78</v>
      </c>
      <c r="E34" t="s">
        <v>39</v>
      </c>
      <c r="F34">
        <v>1</v>
      </c>
      <c r="G34" s="2">
        <v>6.89</v>
      </c>
      <c r="H34">
        <f t="shared" si="0"/>
        <v>3</v>
      </c>
      <c r="I34" s="2">
        <f t="shared" si="1"/>
        <v>20.669999999999998</v>
      </c>
    </row>
    <row r="35" spans="1:9" x14ac:dyDescent="0.25">
      <c r="A35" t="s">
        <v>76</v>
      </c>
      <c r="B35" t="s">
        <v>79</v>
      </c>
      <c r="C35" s="1" t="s">
        <v>80</v>
      </c>
    </row>
    <row r="37" spans="1:9" x14ac:dyDescent="0.25">
      <c r="A37" t="s">
        <v>84</v>
      </c>
    </row>
    <row r="38" spans="1:9" x14ac:dyDescent="0.25">
      <c r="A38" t="s">
        <v>85</v>
      </c>
    </row>
    <row r="39" spans="1:9" x14ac:dyDescent="0.25">
      <c r="A39" t="s">
        <v>86</v>
      </c>
      <c r="B39" s="1" t="s">
        <v>88</v>
      </c>
    </row>
    <row r="40" spans="1:9" x14ac:dyDescent="0.25">
      <c r="A40" t="s">
        <v>87</v>
      </c>
    </row>
    <row r="43" spans="1:9" x14ac:dyDescent="0.25">
      <c r="A43" s="3" t="s">
        <v>93</v>
      </c>
    </row>
    <row r="44" spans="1:9" x14ac:dyDescent="0.25">
      <c r="A44" t="s">
        <v>97</v>
      </c>
      <c r="C44" t="s">
        <v>105</v>
      </c>
      <c r="D44" t="s">
        <v>111</v>
      </c>
      <c r="E44" s="1" t="s">
        <v>106</v>
      </c>
      <c r="F44">
        <v>1</v>
      </c>
      <c r="G44" s="2">
        <v>75.959999999999994</v>
      </c>
      <c r="H44">
        <v>1</v>
      </c>
      <c r="I44" s="2">
        <f t="shared" ref="I44:I50" si="2">G44*H44</f>
        <v>75.959999999999994</v>
      </c>
    </row>
    <row r="45" spans="1:9" x14ac:dyDescent="0.25">
      <c r="A45" t="s">
        <v>95</v>
      </c>
      <c r="D45" t="s">
        <v>110</v>
      </c>
      <c r="E45" s="1" t="s">
        <v>106</v>
      </c>
      <c r="F45">
        <v>1</v>
      </c>
      <c r="G45" s="2">
        <v>105.99</v>
      </c>
      <c r="H45">
        <f t="shared" ref="H45:H49" si="3">F45*$B$1</f>
        <v>3</v>
      </c>
      <c r="I45" s="2">
        <f t="shared" si="2"/>
        <v>317.96999999999997</v>
      </c>
    </row>
    <row r="46" spans="1:9" x14ac:dyDescent="0.25">
      <c r="A46" t="s">
        <v>96</v>
      </c>
      <c r="D46" t="s">
        <v>110</v>
      </c>
      <c r="E46" s="1" t="s">
        <v>106</v>
      </c>
      <c r="F46">
        <v>1</v>
      </c>
      <c r="G46" s="2">
        <v>133.88999999999999</v>
      </c>
      <c r="H46">
        <f t="shared" si="3"/>
        <v>3</v>
      </c>
      <c r="I46" s="2">
        <f t="shared" si="2"/>
        <v>401.66999999999996</v>
      </c>
    </row>
    <row r="47" spans="1:9" x14ac:dyDescent="0.25">
      <c r="A47" t="s">
        <v>97</v>
      </c>
      <c r="D47" t="s">
        <v>108</v>
      </c>
      <c r="E47" s="1" t="s">
        <v>106</v>
      </c>
      <c r="F47">
        <v>1</v>
      </c>
      <c r="G47" s="2">
        <v>55.03</v>
      </c>
      <c r="H47">
        <f t="shared" si="3"/>
        <v>3</v>
      </c>
      <c r="I47" s="2">
        <f t="shared" si="2"/>
        <v>165.09</v>
      </c>
    </row>
    <row r="48" spans="1:9" x14ac:dyDescent="0.25">
      <c r="A48" t="s">
        <v>98</v>
      </c>
      <c r="D48" t="s">
        <v>109</v>
      </c>
      <c r="E48" s="1" t="s">
        <v>106</v>
      </c>
      <c r="F48">
        <v>1</v>
      </c>
      <c r="G48" s="2">
        <v>18.79</v>
      </c>
      <c r="H48">
        <f t="shared" si="3"/>
        <v>3</v>
      </c>
      <c r="I48" s="2">
        <f t="shared" si="2"/>
        <v>56.37</v>
      </c>
    </row>
    <row r="49" spans="1:9" x14ac:dyDescent="0.25">
      <c r="A49" t="s">
        <v>99</v>
      </c>
      <c r="D49" t="s">
        <v>107</v>
      </c>
      <c r="E49" s="1" t="s">
        <v>106</v>
      </c>
      <c r="F49">
        <v>1</v>
      </c>
      <c r="G49" s="2">
        <v>14.45</v>
      </c>
      <c r="H49">
        <f t="shared" si="3"/>
        <v>3</v>
      </c>
      <c r="I49" s="2">
        <f t="shared" si="2"/>
        <v>43.349999999999994</v>
      </c>
    </row>
    <row r="50" spans="1:9" x14ac:dyDescent="0.25">
      <c r="A50" t="s">
        <v>94</v>
      </c>
      <c r="B50" t="s">
        <v>102</v>
      </c>
      <c r="C50" s="1" t="s">
        <v>100</v>
      </c>
      <c r="D50" t="s">
        <v>103</v>
      </c>
      <c r="E50" t="s">
        <v>101</v>
      </c>
      <c r="F50">
        <v>1</v>
      </c>
      <c r="G50" s="2">
        <v>6.99</v>
      </c>
      <c r="H50">
        <v>1</v>
      </c>
      <c r="I50" s="2">
        <f t="shared" si="2"/>
        <v>6.99</v>
      </c>
    </row>
    <row r="51" spans="1:9" x14ac:dyDescent="0.25">
      <c r="H51" s="2"/>
    </row>
    <row r="52" spans="1:9" x14ac:dyDescent="0.25">
      <c r="H52" s="2"/>
    </row>
    <row r="53" spans="1:9" x14ac:dyDescent="0.25">
      <c r="A53" s="3" t="s">
        <v>93</v>
      </c>
      <c r="E53" s="4" t="s">
        <v>112</v>
      </c>
    </row>
    <row r="54" spans="1:9" x14ac:dyDescent="0.25">
      <c r="A54" t="s">
        <v>97</v>
      </c>
      <c r="C54" t="s">
        <v>105</v>
      </c>
      <c r="E54" s="1" t="s">
        <v>104</v>
      </c>
      <c r="F54">
        <v>1</v>
      </c>
      <c r="G54" s="2">
        <v>75.959999999999994</v>
      </c>
      <c r="H54">
        <v>1</v>
      </c>
      <c r="I54" s="2">
        <f t="shared" ref="I54" si="4">G54*H54</f>
        <v>75.959999999999994</v>
      </c>
    </row>
    <row r="55" spans="1:9" x14ac:dyDescent="0.25">
      <c r="A55" t="s">
        <v>95</v>
      </c>
      <c r="E55" s="1" t="s">
        <v>104</v>
      </c>
      <c r="F55">
        <v>1</v>
      </c>
      <c r="G55" s="2">
        <v>106.75</v>
      </c>
      <c r="H55">
        <f t="shared" ref="H55:H59" si="5">F55*$B$1</f>
        <v>3</v>
      </c>
      <c r="I55" s="2">
        <f t="shared" ref="I55:I59" si="6">G55*H55</f>
        <v>320.25</v>
      </c>
    </row>
    <row r="56" spans="1:9" x14ac:dyDescent="0.25">
      <c r="A56" t="s">
        <v>96</v>
      </c>
      <c r="E56" s="1" t="s">
        <v>104</v>
      </c>
      <c r="F56">
        <v>1</v>
      </c>
      <c r="G56" s="2">
        <v>142.28</v>
      </c>
      <c r="H56">
        <f t="shared" si="5"/>
        <v>3</v>
      </c>
      <c r="I56" s="2">
        <f t="shared" si="6"/>
        <v>426.84000000000003</v>
      </c>
    </row>
    <row r="57" spans="1:9" x14ac:dyDescent="0.25">
      <c r="A57" t="s">
        <v>97</v>
      </c>
      <c r="E57" s="1" t="s">
        <v>104</v>
      </c>
      <c r="F57">
        <v>1</v>
      </c>
      <c r="G57" s="2">
        <v>92.25</v>
      </c>
      <c r="H57">
        <f t="shared" si="5"/>
        <v>3</v>
      </c>
      <c r="I57" s="2">
        <f t="shared" si="6"/>
        <v>276.75</v>
      </c>
    </row>
    <row r="58" spans="1:9" x14ac:dyDescent="0.25">
      <c r="A58" t="s">
        <v>98</v>
      </c>
      <c r="E58" s="1" t="s">
        <v>104</v>
      </c>
      <c r="F58">
        <v>1</v>
      </c>
      <c r="G58" s="2">
        <v>17.260000000000002</v>
      </c>
      <c r="H58">
        <f t="shared" si="5"/>
        <v>3</v>
      </c>
      <c r="I58" s="2">
        <f t="shared" si="6"/>
        <v>51.78</v>
      </c>
    </row>
    <row r="59" spans="1:9" x14ac:dyDescent="0.25">
      <c r="A59" t="s">
        <v>99</v>
      </c>
      <c r="E59" s="1" t="s">
        <v>104</v>
      </c>
      <c r="F59">
        <v>1</v>
      </c>
      <c r="G59" s="2">
        <v>32.729999999999997</v>
      </c>
      <c r="H59">
        <f t="shared" si="5"/>
        <v>3</v>
      </c>
      <c r="I59" s="2">
        <f t="shared" si="6"/>
        <v>98.19</v>
      </c>
    </row>
    <row r="60" spans="1:9" x14ac:dyDescent="0.25">
      <c r="A60" t="s">
        <v>94</v>
      </c>
      <c r="B60" t="s">
        <v>102</v>
      </c>
      <c r="C60" s="1" t="s">
        <v>100</v>
      </c>
      <c r="D60" t="s">
        <v>103</v>
      </c>
      <c r="E60" t="s">
        <v>101</v>
      </c>
      <c r="F60">
        <v>1</v>
      </c>
      <c r="G60" s="2">
        <v>6.99</v>
      </c>
      <c r="H60">
        <v>1</v>
      </c>
      <c r="I60" s="2">
        <f t="shared" ref="I60" si="7">G60*H60</f>
        <v>6.99</v>
      </c>
    </row>
    <row r="63" spans="1:9" x14ac:dyDescent="0.25">
      <c r="A63" t="s">
        <v>113</v>
      </c>
    </row>
    <row r="71" spans="3:3" x14ac:dyDescent="0.25">
      <c r="C71" s="1"/>
    </row>
  </sheetData>
  <hyperlinks>
    <hyperlink ref="C22" r:id="rId1" tooltip="7-Segment-Anzeige, rot, 20,3mm, gem. Kathode" display="https://www.reichelt.de/Siebensegment-Anzeigen/SC-08-11-RT/3/index.html?ACTION=3&amp;LA=446&amp;ARTICLE=31576&amp;GROUPID=3002&amp;artnr=SC+08-11+RT&amp;SEARCH=SC%2B08-11%2Brt"/>
    <hyperlink ref="C21" r:id="rId2" tooltip="Schallwandler, 7-16V, 2,4kHz" display="https://www.reichelt.de/Signalakustik/SUMMER-AL-60P12/3/index.html?ACTION=3&amp;LA=446&amp;ARTICLE=128931&amp;GROUPID=6560&amp;artnr=SUMMER+AL-60P12&amp;SEARCH=summer"/>
    <hyperlink ref="C24" r:id="rId3" tooltip="HIGH-SPEED CMOS SO-16" display="https://www.reichelt.de/ICs-74HC-SMD/SMD-HC-595/3/index.html?ACTION=3&amp;LA=446&amp;ARTICLE=56622&amp;GROUPID=2931&amp;artnr=SMD+HC+595&amp;SEARCH=smd%2Bhc%2B595"/>
    <hyperlink ref="C25" r:id="rId4" tooltip="50pol. Stiftleiste, gewinkelt, RM 2,54" display="https://www.reichelt.de/Stiftleisten/SL-1X50W-2-54/3/index.html?ACTION=3&amp;LA=446&amp;ARTICLE=19509&amp;GROUPID=7434&amp;artnr=SL+1X50W+2%2C54&amp;SEARCH=SL%2B1x500%2B2%252C54"/>
    <hyperlink ref="C12" r:id="rId5" tooltip="Buchsenleisten 2,54 mm, 1X16, gerade" display="https://www.reichelt.de/Buchsenleisten/MPE-094-1-016/3/index.html?ACTION=3&amp;LA=446&amp;ARTICLE=119919&amp;GROUPID=7435&amp;artnr=MPE+094-1-016&amp;SEARCH=mpe%2B094-1-016"/>
    <hyperlink ref="C11" r:id="rId6" tooltip="SMD-Chip-Widerstand, Bauform 1206, 330 Ohm" display="https://www.reichelt.de/SMD-1206-von-0-bis-910-Ohm/SMD-1-4W-330/3/index.html?ACTION=3&amp;LA=446&amp;ARTICLE=18315&amp;GROUPID=7973&amp;artnr=SMD+1%2F4W+330&amp;SEARCH=smd%2B1%252F4w%2B330"/>
    <hyperlink ref="C10" r:id="rId7" tooltip="LED, 3 mm, farblos, 11250 mcd, kaltweiß" display="https://www.reichelt.de/LEDs-3-mm/LED-EL-3-11250KW/3/index.html?ACTION=3&amp;LA=446&amp;ARTICLE=164203&amp;GROUPID=3018&amp;artnr=LED+EL+3-11250KW&amp;SEARCH=LED%2Bel%2B3-11250kw"/>
    <hyperlink ref="C8" r:id="rId8" tooltip="Stapelleiste, 10-polig, einreihig, Höhe 38mm" display="https://www.reichelt.de/Stiftleisten/STAPELLEISTE-10/3/index.html?ACTION=3&amp;LA=446&amp;ARTICLE=19452&amp;GROUPID=7434&amp;artnr=STAPELLEISTE+10&amp;SEARCH=stapelleiste%2B10"/>
    <hyperlink ref="C7" r:id="rId9" tooltip="Stiftleisten 2,54 mm, 1X50, gerade" display="https://www.reichelt.de/Stiftleisten/MPE-087-1-050/3/index.html?ACTION=3&amp;LA=2&amp;ARTICLE=119891&amp;GROUPID=7434&amp;artnr=MPE+087-1-050&amp;SEARCH=%252A"/>
    <hyperlink ref="C6" r:id="rId10" tooltip="SMD-Chip-Widerstand, Bauform 1206, 330 Ohm" display="https://www.reichelt.de/SMD-1206-von-0-bis-910-Ohm/SMD-1-4W-330/3/index.html?ACTION=3&amp;LA=446&amp;ARTICLE=18315&amp;GROUPID=7973&amp;artnr=SMD+1%2F4W+330&amp;SEARCH=smd%2B1%252F4w%2B330"/>
    <hyperlink ref="C5" r:id="rId11" tooltip="Fotowiderstand" display="https://www.reichelt.de/Fotodioden-etc-/A-905014/3/index.html?ACTION=3&amp;LA=446&amp;ARTICLE=47512&amp;GROUPID=3045&amp;artnr=A+905014&amp;SEARCH=a%2B905014"/>
    <hyperlink ref="C31" r:id="rId12" tooltip="Arduino Micro, ATmega32u4, microUSB" display="https://www.reichelt.de/Einplatinen-Microcontroller/ARDUINO-MICRO/3/index.html?ACTION=3&amp;LA=446&amp;ARTICLE=130166&amp;GROUPID=6667&amp;artnr=ARDUINO+MICRO&amp;SEARCH=arduino%2Bmicro"/>
    <hyperlink ref="C27" r:id="rId13"/>
    <hyperlink ref="C29" r:id="rId14"/>
    <hyperlink ref="C18" r:id="rId15" tooltip="Kurzschlussbrücke, schw. m. Grifflasche" display="https://www.reichelt.de/Stiftleisten/JUMPER-2-54GL-SW/3/index.html?ACTION=3&amp;LA=2&amp;ARTICLE=9019&amp;GROUPID=7434&amp;artnr=JUMPER+2%2C54GL+SW&amp;SEARCH=%252A"/>
    <hyperlink ref="C19" r:id="rId16" tooltip="Kurzschlussbrücke, rot, mit Grifflasche" display="https://www.reichelt.de/Stiftleisten/JUMPER-2-54GL-RT/3/index.html?ACTION=3&amp;LA=2&amp;ARTICLE=9018&amp;GROUPID=7434&amp;artnr=JUMPER+2%2C54GL+RT&amp;SEARCH=%252A"/>
    <hyperlink ref="C16" r:id="rId17" tooltip="Metallschichtwiderstand 2,20 K-Ohm" display="https://www.reichelt.de/0-6W-1-1-00-k-Ohm-9-76-k-Ohm/METALL-2-20K/3/index.html?ACTION=3&amp;LA=446&amp;ARTICLE=11584&amp;GROUPID=3078&amp;artnr=METALL+2%2C20K&amp;SEARCH=Metall%2B2%252C20k"/>
    <hyperlink ref="C14" r:id="rId18" tooltip="Transistor NPN-Darl TO-220 60V 5A 65W" display="https://www.reichelt.de/TIP-J-Transistoren/TIP-120-STM/3/index.html?ACTION=3&amp;LA=446&amp;ARTICLE=21469&amp;GROUPID=2887&amp;artnr=TIP+120+STM&amp;SEARCH=tip%2B120%2Bstm"/>
    <hyperlink ref="C15" r:id="rId19" tooltip="Präz.-Buchsenleisten 2,54 mm, 1X36, gerade" display="https://www.reichelt.de/Buchsenleisten/MPE-115-1-036/3/index.html?ACTION=3&amp;LA=446&amp;ARTICLE=119957&amp;GROUPID=7435&amp;artnr=MPE+115-1-036&amp;SEARCH=mpe%2B115-1-036"/>
    <hyperlink ref="C17" r:id="rId20" tooltip="Gleichrichterdiode, DO41, 400V, 1A" display="https://www.reichelt.de/1N-UF-AA-Dioden/1N-4004/3/index.html?ACTION=3&amp;LA=446&amp;ARTICLE=1726&amp;GROUPID=2987&amp;artnr=1N+4004&amp;SEARCH=1n4004"/>
    <hyperlink ref="C32" r:id="rId21" tooltip="Kippschalter 10A-125VAC, 1x Ein-Aus" display="https://www.reichelt.de/Kippschalter/MS-165/3/index.html?ACTION=3&amp;LA=2&amp;ARTICLE=13139&amp;GROUPID=7584&amp;artnr=MS+165&amp;SEARCH=%252A"/>
    <hyperlink ref="C23" r:id="rId22" tooltip="SMD-Chip-Widerstand, Bauform 1206, 330 Ohm" display="https://www.reichelt.de/SMD-1206-von-0-bis-910-Ohm/SMD-1-4W-330/3/index.html?ACTION=3&amp;LA=446&amp;ARTICLE=18315&amp;GROUPID=7973&amp;artnr=SMD+1%2F4W+330&amp;SEARCH=smd%2B1%252F4w%2B330"/>
    <hyperlink ref="D5" r:id="rId23" location="PE.pdf"/>
    <hyperlink ref="D6" r:id="rId24"/>
    <hyperlink ref="D11" r:id="rId25"/>
    <hyperlink ref="D23" r:id="rId26"/>
    <hyperlink ref="D7" r:id="rId27"/>
    <hyperlink ref="D8" r:id="rId28"/>
    <hyperlink ref="D10" r:id="rId29"/>
    <hyperlink ref="D12" r:id="rId30"/>
    <hyperlink ref="D14" r:id="rId31" location="STM.pdf"/>
    <hyperlink ref="D15" r:id="rId32"/>
    <hyperlink ref="D16" r:id="rId33" location="YAG.pdf"/>
    <hyperlink ref="D17" r:id="rId34"/>
    <hyperlink ref="D18" r:id="rId35" location="DIV.pdf"/>
    <hyperlink ref="D19" r:id="rId36" location="DIV.pdf"/>
    <hyperlink ref="D21" r:id="rId37"/>
    <hyperlink ref="D22" r:id="rId38"/>
    <hyperlink ref="D24" r:id="rId39"/>
    <hyperlink ref="D25" r:id="rId40"/>
    <hyperlink ref="D32" r:id="rId41"/>
    <hyperlink ref="C33" r:id="rId42"/>
    <hyperlink ref="C34" r:id="rId43"/>
    <hyperlink ref="C35" r:id="rId44"/>
    <hyperlink ref="C28" r:id="rId45" tooltip="Hohlstecker-Buchse, Zentraleinbau, Metall" display="https://www.reichelt.de/Hohlstecker/HEBLM-25/3/index.html?ACTION=3&amp;LA=2&amp;ARTICLE=35269&amp;GROUPID=7488&amp;artnr=HEBLM+25&amp;SEARCH=%252A"/>
    <hyperlink ref="B39" r:id="rId46"/>
    <hyperlink ref="C30" r:id="rId47"/>
    <hyperlink ref="D30" r:id="rId48"/>
    <hyperlink ref="C60" r:id="rId49"/>
    <hyperlink ref="E59" r:id="rId50"/>
    <hyperlink ref="E58" r:id="rId51"/>
    <hyperlink ref="E57" r:id="rId52"/>
    <hyperlink ref="E56" r:id="rId53"/>
    <hyperlink ref="E55" r:id="rId54"/>
    <hyperlink ref="E54" r:id="rId55"/>
    <hyperlink ref="C50" r:id="rId56"/>
    <hyperlink ref="E44:E49" r:id="rId57" display="https://i.materialise.de/"/>
  </hyperlinks>
  <pageMargins left="0.7" right="0.7" top="0.75" bottom="0.75" header="0.3" footer="0.3"/>
  <pageSetup paperSize="9"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Bestellliste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2018-01-29T11:52:15Z</dcterms:modified>
</cp:coreProperties>
</file>